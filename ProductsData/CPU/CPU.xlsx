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End Flagship C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0" fillId="5" borderId="2" pivotButton="0" quotePrefix="0" xfId="0"/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28" customWidth="1" min="4" max="4"/>
    <col width="25" customWidth="1" min="5" max="5"/>
    <col width="23" customWidth="1" min="6" max="6"/>
    <col width="21" customWidth="1" min="7" max="7"/>
    <col width="32" customWidth="1" min="8" max="8"/>
    <col width="16" customWidth="1" min="9" max="9"/>
  </cols>
  <sheetData>
    <row r="1" ht="26" customHeight="1">
      <c r="A1" s="1" t="inlineStr">
        <is>
          <t>HIGH-END FLAGSHIP CPU SPECIFICATIONS CATALOG</t>
        </is>
      </c>
    </row>
    <row r="2" ht="18" customHeight="1">
      <c r="A2" s="2" t="inlineStr">
        <is>
          <t>100% Compatible with Motherboards List (LGA 1700 &amp; AM5 Sockets)</t>
        </is>
      </c>
    </row>
    <row r="3" ht="10" customHeight="1"/>
    <row r="4" ht="14" customHeight="1">
      <c r="B4" s="3" t="inlineStr">
        <is>
          <t>TOTAL PROCESSORS</t>
        </is>
      </c>
      <c r="C4" s="4" t="n"/>
      <c r="D4" s="3" t="inlineStr">
        <is>
          <t>AVERAGE PRICE</t>
        </is>
      </c>
      <c r="E4" s="4" t="n"/>
      <c r="F4" s="3" t="inlineStr">
        <is>
          <t>FLAGSHIP MAX PRICE</t>
        </is>
      </c>
      <c r="G4" s="4" t="n"/>
      <c r="H4" s="3" t="inlineStr">
        <is>
          <t>MIN PRICE</t>
        </is>
      </c>
      <c r="I4" s="4" t="n"/>
    </row>
    <row r="5" ht="20" customHeight="1">
      <c r="B5" s="5">
        <f>COUNTA(A7:A21)</f>
        <v/>
      </c>
      <c r="C5" s="4" t="n"/>
      <c r="D5" s="6">
        <f>AVERAGE(I7:I21)</f>
        <v/>
      </c>
      <c r="E5" s="4" t="n"/>
      <c r="F5" s="6">
        <f>MAX(I7:I21)</f>
        <v/>
      </c>
      <c r="G5" s="4" t="n"/>
      <c r="H5" s="6">
        <f>MIN(I7:I21)</f>
        <v/>
      </c>
      <c r="I5" s="4" t="n"/>
    </row>
    <row r="6" ht="12" customHeight="1"/>
    <row r="7" ht="24" customHeight="1">
      <c r="A7" s="7" t="inlineStr">
        <is>
          <t>ID</t>
        </is>
      </c>
      <c r="B7" s="8" t="inlineStr">
        <is>
          <t>CPU Name</t>
        </is>
      </c>
      <c r="C7" s="7" t="inlineStr">
        <is>
          <t>Socket / Motherboard Support</t>
        </is>
      </c>
      <c r="D7" s="7" t="inlineStr">
        <is>
          <t>Core Count</t>
        </is>
      </c>
      <c r="E7" s="7" t="inlineStr">
        <is>
          <t>Perf Core Clock</t>
        </is>
      </c>
      <c r="F7" s="7" t="inlineStr">
        <is>
          <t>Microarchitecture</t>
        </is>
      </c>
      <c r="G7" s="7" t="inlineStr">
        <is>
          <t>TDP</t>
        </is>
      </c>
      <c r="H7" s="8" t="inlineStr">
        <is>
          <t>Integrated Graphic Card</t>
        </is>
      </c>
      <c r="I7" s="7" t="inlineStr">
        <is>
          <t>Price (USD)</t>
        </is>
      </c>
    </row>
    <row r="8" ht="20" customHeight="1">
      <c r="A8" s="9" t="n">
        <v>1</v>
      </c>
      <c r="B8" s="10" t="inlineStr">
        <is>
          <t>Intel Core i9-14900KS</t>
        </is>
      </c>
      <c r="C8" s="11" t="inlineStr">
        <is>
          <t>LGA 1700</t>
        </is>
      </c>
      <c r="D8" s="11" t="inlineStr">
        <is>
          <t>24 (8P + 16E) / 32 Threads</t>
        </is>
      </c>
      <c r="E8" s="11" t="inlineStr">
        <is>
          <t>3.2 GHz (6.2 GHz Boost)</t>
        </is>
      </c>
      <c r="F8" s="11" t="inlineStr">
        <is>
          <t>Raptor Lake Refresh</t>
        </is>
      </c>
      <c r="G8" s="11" t="inlineStr">
        <is>
          <t>150W (253W Turbo)</t>
        </is>
      </c>
      <c r="H8" s="10" t="inlineStr">
        <is>
          <t>Intel UHD Graphics 770</t>
        </is>
      </c>
      <c r="I8" s="12" t="n">
        <v>689.99</v>
      </c>
    </row>
    <row r="9" ht="20" customHeight="1">
      <c r="A9" s="13" t="n">
        <v>2</v>
      </c>
      <c r="B9" s="14" t="inlineStr">
        <is>
          <t>AMD Ryzen 9 7950X3D</t>
        </is>
      </c>
      <c r="C9" s="15" t="inlineStr">
        <is>
          <t>AM5</t>
        </is>
      </c>
      <c r="D9" s="15" t="inlineStr">
        <is>
          <t>16 Cores / 32 Threads</t>
        </is>
      </c>
      <c r="E9" s="15" t="inlineStr">
        <is>
          <t>4.2 GHz (5.7 GHz Boost)</t>
        </is>
      </c>
      <c r="F9" s="15" t="inlineStr">
        <is>
          <t>Zen 4 (3D V-Cache)</t>
        </is>
      </c>
      <c r="G9" s="15" t="inlineStr">
        <is>
          <t>120W</t>
        </is>
      </c>
      <c r="H9" s="14" t="inlineStr">
        <is>
          <t>AMD Radeon Graphics (2 Cores)</t>
        </is>
      </c>
      <c r="I9" s="16" t="n">
        <v>649</v>
      </c>
    </row>
    <row r="10" ht="20" customHeight="1">
      <c r="A10" s="9" t="n">
        <v>3</v>
      </c>
      <c r="B10" s="10" t="inlineStr">
        <is>
          <t>Intel Core i9-14900K</t>
        </is>
      </c>
      <c r="C10" s="11" t="inlineStr">
        <is>
          <t>LGA 1700</t>
        </is>
      </c>
      <c r="D10" s="11" t="inlineStr">
        <is>
          <t>24 (8P + 16E) / 32 Threads</t>
        </is>
      </c>
      <c r="E10" s="11" t="inlineStr">
        <is>
          <t>3.2 GHz (6.0 GHz Boost)</t>
        </is>
      </c>
      <c r="F10" s="11" t="inlineStr">
        <is>
          <t>Raptor Lake Refresh</t>
        </is>
      </c>
      <c r="G10" s="11" t="inlineStr">
        <is>
          <t>125W (253W Turbo)</t>
        </is>
      </c>
      <c r="H10" s="10" t="inlineStr">
        <is>
          <t>Intel UHD Graphics 770</t>
        </is>
      </c>
      <c r="I10" s="12" t="n">
        <v>549.99</v>
      </c>
    </row>
    <row r="11" ht="20" customHeight="1">
      <c r="A11" s="13" t="n">
        <v>4</v>
      </c>
      <c r="B11" s="14" t="inlineStr">
        <is>
          <t>AMD Ryzen 9 7950X</t>
        </is>
      </c>
      <c r="C11" s="15" t="inlineStr">
        <is>
          <t>AM5</t>
        </is>
      </c>
      <c r="D11" s="15" t="inlineStr">
        <is>
          <t>16 Cores / 32 Threads</t>
        </is>
      </c>
      <c r="E11" s="15" t="inlineStr">
        <is>
          <t>4.5 GHz (5.7 GHz Boost)</t>
        </is>
      </c>
      <c r="F11" s="15" t="inlineStr">
        <is>
          <t>Zen 4</t>
        </is>
      </c>
      <c r="G11" s="15" t="inlineStr">
        <is>
          <t>170W</t>
        </is>
      </c>
      <c r="H11" s="14" t="inlineStr">
        <is>
          <t>AMD Radeon Graphics (2 Cores)</t>
        </is>
      </c>
      <c r="I11" s="16" t="n">
        <v>549</v>
      </c>
    </row>
    <row r="12" ht="20" customHeight="1">
      <c r="A12" s="9" t="n">
        <v>5</v>
      </c>
      <c r="B12" s="10" t="inlineStr">
        <is>
          <t>Intel Core i9-13900KS</t>
        </is>
      </c>
      <c r="C12" s="11" t="inlineStr">
        <is>
          <t>LGA 1700</t>
        </is>
      </c>
      <c r="D12" s="11" t="inlineStr">
        <is>
          <t>24 (8P + 16E) / 32 Threads</t>
        </is>
      </c>
      <c r="E12" s="11" t="inlineStr">
        <is>
          <t>3.2 GHz (6.0 GHz Boost)</t>
        </is>
      </c>
      <c r="F12" s="11" t="inlineStr">
        <is>
          <t>Raptor Lake</t>
        </is>
      </c>
      <c r="G12" s="11" t="inlineStr">
        <is>
          <t>150W (253W Turbo)</t>
        </is>
      </c>
      <c r="H12" s="10" t="inlineStr">
        <is>
          <t>Intel UHD Graphics 770</t>
        </is>
      </c>
      <c r="I12" s="12" t="n">
        <v>629.99</v>
      </c>
    </row>
    <row r="13" ht="20" customHeight="1">
      <c r="A13" s="13" t="n">
        <v>6</v>
      </c>
      <c r="B13" s="14" t="inlineStr">
        <is>
          <t>AMD Ryzen 7 7800X3D</t>
        </is>
      </c>
      <c r="C13" s="15" t="inlineStr">
        <is>
          <t>AM5</t>
        </is>
      </c>
      <c r="D13" s="15" t="inlineStr">
        <is>
          <t>8 Cores / 16 Threads</t>
        </is>
      </c>
      <c r="E13" s="15" t="inlineStr">
        <is>
          <t>4.2 GHz (5.0 GHz Boost)</t>
        </is>
      </c>
      <c r="F13" s="15" t="inlineStr">
        <is>
          <t>Zen 4 (3D V-Cache)</t>
        </is>
      </c>
      <c r="G13" s="15" t="inlineStr">
        <is>
          <t>120W</t>
        </is>
      </c>
      <c r="H13" s="14" t="inlineStr">
        <is>
          <t>AMD Radeon Graphics (2 Cores)</t>
        </is>
      </c>
      <c r="I13" s="16" t="n">
        <v>369</v>
      </c>
    </row>
    <row r="14" ht="20" customHeight="1">
      <c r="A14" s="9" t="n">
        <v>7</v>
      </c>
      <c r="B14" s="10" t="inlineStr">
        <is>
          <t>Intel Core i9-13900K</t>
        </is>
      </c>
      <c r="C14" s="11" t="inlineStr">
        <is>
          <t>LGA 1700</t>
        </is>
      </c>
      <c r="D14" s="11" t="inlineStr">
        <is>
          <t>24 (8P + 16E) / 32 Threads</t>
        </is>
      </c>
      <c r="E14" s="11" t="inlineStr">
        <is>
          <t>3.0 GHz (5.8 GHz Boost)</t>
        </is>
      </c>
      <c r="F14" s="11" t="inlineStr">
        <is>
          <t>Raptor Lake</t>
        </is>
      </c>
      <c r="G14" s="11" t="inlineStr">
        <is>
          <t>125W (253W Turbo)</t>
        </is>
      </c>
      <c r="H14" s="10" t="inlineStr">
        <is>
          <t>Intel UHD Graphics 770</t>
        </is>
      </c>
      <c r="I14" s="12" t="n">
        <v>489.99</v>
      </c>
    </row>
    <row r="15" ht="20" customHeight="1">
      <c r="A15" s="13" t="n">
        <v>8</v>
      </c>
      <c r="B15" s="14" t="inlineStr">
        <is>
          <t>AMD Ryzen 9 7900X3D</t>
        </is>
      </c>
      <c r="C15" s="15" t="inlineStr">
        <is>
          <t>AM5</t>
        </is>
      </c>
      <c r="D15" s="15" t="inlineStr">
        <is>
          <t>12 Cores / 24 Threads</t>
        </is>
      </c>
      <c r="E15" s="15" t="inlineStr">
        <is>
          <t>4.4 GHz (5.6 GHz Boost)</t>
        </is>
      </c>
      <c r="F15" s="15" t="inlineStr">
        <is>
          <t>Zen 4 (3D V-Cache)</t>
        </is>
      </c>
      <c r="G15" s="15" t="inlineStr">
        <is>
          <t>120W</t>
        </is>
      </c>
      <c r="H15" s="14" t="inlineStr">
        <is>
          <t>AMD Radeon Graphics (2 Cores)</t>
        </is>
      </c>
      <c r="I15" s="16" t="n">
        <v>499</v>
      </c>
    </row>
    <row r="16" ht="20" customHeight="1">
      <c r="A16" s="9" t="n">
        <v>9</v>
      </c>
      <c r="B16" s="10" t="inlineStr">
        <is>
          <t>Intel Core i7-14700K</t>
        </is>
      </c>
      <c r="C16" s="11" t="inlineStr">
        <is>
          <t>LGA 1700</t>
        </is>
      </c>
      <c r="D16" s="11" t="inlineStr">
        <is>
          <t>20 (8P + 12E) / 28 Threads</t>
        </is>
      </c>
      <c r="E16" s="11" t="inlineStr">
        <is>
          <t>3.4 GHz (5.6 GHz Boost)</t>
        </is>
      </c>
      <c r="F16" s="11" t="inlineStr">
        <is>
          <t>Raptor Lake Refresh</t>
        </is>
      </c>
      <c r="G16" s="11" t="inlineStr">
        <is>
          <t>125W (253W Turbo)</t>
        </is>
      </c>
      <c r="H16" s="10" t="inlineStr">
        <is>
          <t>Intel UHD Graphics 770</t>
        </is>
      </c>
      <c r="I16" s="12" t="n">
        <v>389.99</v>
      </c>
    </row>
    <row r="17" ht="20" customHeight="1">
      <c r="A17" s="13" t="n">
        <v>10</v>
      </c>
      <c r="B17" s="14" t="inlineStr">
        <is>
          <t>AMD Ryzen 9 7900X</t>
        </is>
      </c>
      <c r="C17" s="15" t="inlineStr">
        <is>
          <t>AM5</t>
        </is>
      </c>
      <c r="D17" s="15" t="inlineStr">
        <is>
          <t>12 Cores / 24 Threads</t>
        </is>
      </c>
      <c r="E17" s="15" t="inlineStr">
        <is>
          <t>4.7 GHz (5.6 GHz Boost)</t>
        </is>
      </c>
      <c r="F17" s="15" t="inlineStr">
        <is>
          <t>Zen 4</t>
        </is>
      </c>
      <c r="G17" s="15" t="inlineStr">
        <is>
          <t>170W</t>
        </is>
      </c>
      <c r="H17" s="14" t="inlineStr">
        <is>
          <t>AMD Radeon Graphics (2 Cores)</t>
        </is>
      </c>
      <c r="I17" s="16" t="n">
        <v>389</v>
      </c>
    </row>
    <row r="18" ht="20" customHeight="1">
      <c r="A18" s="9" t="n">
        <v>11</v>
      </c>
      <c r="B18" s="10" t="inlineStr">
        <is>
          <t>Intel Core i9-14900KF</t>
        </is>
      </c>
      <c r="C18" s="11" t="inlineStr">
        <is>
          <t>LGA 1700</t>
        </is>
      </c>
      <c r="D18" s="11" t="inlineStr">
        <is>
          <t>24 (8P + 16E) / 32 Threads</t>
        </is>
      </c>
      <c r="E18" s="11" t="inlineStr">
        <is>
          <t>3.2 GHz (6.0 GHz Boost)</t>
        </is>
      </c>
      <c r="F18" s="11" t="inlineStr">
        <is>
          <t>Raptor Lake Refresh</t>
        </is>
      </c>
      <c r="G18" s="11" t="inlineStr">
        <is>
          <t>125W (253W Turbo)</t>
        </is>
      </c>
      <c r="H18" s="10" t="inlineStr">
        <is>
          <t>None (Requires Discrete GPU)</t>
        </is>
      </c>
      <c r="I18" s="12" t="n">
        <v>529.99</v>
      </c>
    </row>
    <row r="19" ht="20" customHeight="1">
      <c r="A19" s="13" t="n">
        <v>12</v>
      </c>
      <c r="B19" s="14" t="inlineStr">
        <is>
          <t>AMD Ryzen 9 7900</t>
        </is>
      </c>
      <c r="C19" s="15" t="inlineStr">
        <is>
          <t>AM5</t>
        </is>
      </c>
      <c r="D19" s="15" t="inlineStr">
        <is>
          <t>12 Cores / 24 Threads</t>
        </is>
      </c>
      <c r="E19" s="15" t="inlineStr">
        <is>
          <t>3.7 GHz (5.4 GHz Boost)</t>
        </is>
      </c>
      <c r="F19" s="15" t="inlineStr">
        <is>
          <t>Zen 4</t>
        </is>
      </c>
      <c r="G19" s="15" t="inlineStr">
        <is>
          <t>65W</t>
        </is>
      </c>
      <c r="H19" s="14" t="inlineStr">
        <is>
          <t>AMD Radeon Graphics (2 Cores)</t>
        </is>
      </c>
      <c r="I19" s="16" t="n">
        <v>369</v>
      </c>
    </row>
    <row r="20" ht="20" customHeight="1">
      <c r="A20" s="9" t="n">
        <v>13</v>
      </c>
      <c r="B20" s="10" t="inlineStr">
        <is>
          <t>Intel Core i7-13700K</t>
        </is>
      </c>
      <c r="C20" s="11" t="inlineStr">
        <is>
          <t>LGA 1700</t>
        </is>
      </c>
      <c r="D20" s="11" t="inlineStr">
        <is>
          <t>16 (8P + 8E) / 24 Threads</t>
        </is>
      </c>
      <c r="E20" s="11" t="inlineStr">
        <is>
          <t>3.4 GHz (5.4 GHz Boost)</t>
        </is>
      </c>
      <c r="F20" s="11" t="inlineStr">
        <is>
          <t>Raptor Lake</t>
        </is>
      </c>
      <c r="G20" s="11" t="inlineStr">
        <is>
          <t>125W (253W Turbo)</t>
        </is>
      </c>
      <c r="H20" s="10" t="inlineStr">
        <is>
          <t>Intel UHD Graphics 770</t>
        </is>
      </c>
      <c r="I20" s="12" t="n">
        <v>349.99</v>
      </c>
    </row>
    <row r="21" ht="20" customHeight="1">
      <c r="A21" s="13" t="n">
        <v>14</v>
      </c>
      <c r="B21" s="14" t="inlineStr">
        <is>
          <t>AMD Ryzen 7 7700X</t>
        </is>
      </c>
      <c r="C21" s="15" t="inlineStr">
        <is>
          <t>AM5</t>
        </is>
      </c>
      <c r="D21" s="15" t="inlineStr">
        <is>
          <t>8 Cores / 16 Threads</t>
        </is>
      </c>
      <c r="E21" s="15" t="inlineStr">
        <is>
          <t>4.5 GHz (5.4 GHz Boost)</t>
        </is>
      </c>
      <c r="F21" s="15" t="inlineStr">
        <is>
          <t>Zen 4</t>
        </is>
      </c>
      <c r="G21" s="15" t="inlineStr">
        <is>
          <t>105W</t>
        </is>
      </c>
      <c r="H21" s="14" t="inlineStr">
        <is>
          <t>AMD Radeon Graphics (2 Cores)</t>
        </is>
      </c>
      <c r="I21" s="16" t="n">
        <v>289</v>
      </c>
    </row>
    <row r="22" ht="20" customHeight="1">
      <c r="A22" s="9" t="n">
        <v>15</v>
      </c>
      <c r="B22" s="10" t="inlineStr">
        <is>
          <t>Intel Core i9-12900KS</t>
        </is>
      </c>
      <c r="C22" s="11" t="inlineStr">
        <is>
          <t>LGA 1700</t>
        </is>
      </c>
      <c r="D22" s="11" t="inlineStr">
        <is>
          <t>16 (8P + 8E) / 24 Threads</t>
        </is>
      </c>
      <c r="E22" s="11" t="inlineStr">
        <is>
          <t>3.4 GHz (5.5 GHz Boost)</t>
        </is>
      </c>
      <c r="F22" s="11" t="inlineStr">
        <is>
          <t>Alder Lake</t>
        </is>
      </c>
      <c r="G22" s="11" t="inlineStr">
        <is>
          <t>150W (241W Turbo)</t>
        </is>
      </c>
      <c r="H22" s="10" t="inlineStr">
        <is>
          <t>Intel UHD Graphics 770</t>
        </is>
      </c>
      <c r="I22" s="12" t="n">
        <v>419.99</v>
      </c>
    </row>
    <row r="23" ht="22" customHeight="1">
      <c r="A23" s="17" t="inlineStr"/>
      <c r="B23" s="18" t="inlineStr">
        <is>
          <t>Average / Total Summary</t>
        </is>
      </c>
      <c r="C23" s="17" t="n"/>
      <c r="D23" s="17" t="n"/>
      <c r="E23" s="17" t="n"/>
      <c r="F23" s="17" t="n"/>
      <c r="G23" s="17" t="n"/>
      <c r="H23" s="17" t="n"/>
      <c r="I23" s="19">
        <f>AVERAGE(I8:I22)</f>
        <v/>
      </c>
    </row>
  </sheetData>
  <mergeCells count="10">
    <mergeCell ref="F4:G4"/>
    <mergeCell ref="A2:I2"/>
    <mergeCell ref="B5:C5"/>
    <mergeCell ref="F5:G5"/>
    <mergeCell ref="D5:E5"/>
    <mergeCell ref="A1:I1"/>
    <mergeCell ref="H5:I5"/>
    <mergeCell ref="D4:E4"/>
    <mergeCell ref="H4:I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2026-08-31T15:21:30Z</dcterms:created>
  <dcterms:modified xmlns:dcterms="http://purl.org/dc/terms/" xmlns:xsi="http://www.w3.org/2001/XMLSchema-instance" xsi:type="dcterms:W3CDTF">2026-08-31T15:21:30Z</dcterms:modified>
</cp:coreProperties>
</file>